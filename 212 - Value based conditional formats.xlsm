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rk\OneDrive\Desktop\Excell\visualization\"/>
    </mc:Choice>
  </mc:AlternateContent>
  <xr:revisionPtr revIDLastSave="0" documentId="13_ncr:1_{D2D81B0D-89C2-48BF-9516-9211222DF42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</workbook>
</file>

<file path=xl/calcChain.xml><?xml version="1.0" encoding="utf-8"?>
<calcChain xmlns="http://schemas.openxmlformats.org/spreadsheetml/2006/main">
  <c r="E29" i="22" l="1"/>
  <c r="O1" i="22"/>
  <c r="N1" i="22"/>
  <c r="M1" i="22"/>
  <c r="N30" i="22"/>
  <c r="P2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<sst xmlns="http://schemas.openxmlformats.org/spreadsheetml/2006/main" count="107" uniqueCount="75">
  <si>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</si>
  <si>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</si>
  <si>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</si>
  <si>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</si>
  <si>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</si>
  <si>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</si>
  <si>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</si>
  <si>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</si>
  <si>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</si>
  <si>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</si>
  <si>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</si>
  <si>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</si>
  <si>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</si>
  <si>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</si>
  <si>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</si>
  <si>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</si>
  <si>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</si>
  <si>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</si>
  <si>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</si>
  <si>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</si>
  <si>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</si>
  <si>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</si>
  <si>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</si>
  <si>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</si>
  <si>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</si>
  <si>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</si>
  <si>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</si>
  <si>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</si>
  <si>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</si>
  <si>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</si>
  <si>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</si>
  <si>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</si>
  <si>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</si>
  <si>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</si>
  <si>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</si>
  <si>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</si>
  <si>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</si>
  <si>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</si>
  <si>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</si>
  <si>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</si>
  <si>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</si>
  <si>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</si>
  <si>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</si>
  <si>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</si>
  <si>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</si>
  <si>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</si>
  <si>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</si>
  <si>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</si>
  <si>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</si>
  <si>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</si>
  <si>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</si>
  <si>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</si>
  <si>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</si>
  <si>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</si>
  <si>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</si>
  <si>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</si>
  <si>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</si>
  <si>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</si>
  <si>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</si>
  <si>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</si>
  <si>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</si>
  <si>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</si>
  <si>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</si>
  <si>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</si>
  <si>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</si>
  <si>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</si>
  <si>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</si>
  <si>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</si>
  <si>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</si>
  <si>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</si>
  <si>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</si>
  <si>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</si>
  <si>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</si>
  <si>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</si>
  <si>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VLOOKUP(K1,B29:E36,3,0)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</si>
</sst>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%;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166" fontId="22" fillId="33" borderId="0" xfId="0" applyNumberFormat="1" applyFont="1" applyFill="1" applyAlignment="1">
      <alignment horizontal="center"/>
    </xf>
    <xf numFmtId="191" fontId="22" fillId="33" borderId="0" xfId="0" applyNumberFormat="1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167" fontId="22" fillId="33" borderId="0" xfId="0" applyNumberFormat="1" applyFont="1" applyFill="1" applyAlignment="1">
      <alignment horizontal="center"/>
    </xf>
    <xf numFmtId="192" fontId="22" fillId="33" borderId="0" xfId="0" applyNumberFormat="1" applyFont="1" applyFill="1" applyAlignment="1">
      <alignment horizontal="center"/>
    </xf>
    <xf numFmtId="168" fontId="22" fillId="33" borderId="0" xfId="0" applyNumberFormat="1" applyFont="1" applyFill="1" applyAlignment="1">
      <alignment horizontal="center"/>
    </xf>
    <xf numFmtId="193" fontId="22" fillId="33" borderId="0" xfId="0" applyNumberFormat="1" applyFont="1" applyFill="1" applyAlignment="1">
      <alignment horizontal="center"/>
    </xf>
    <xf numFmtId="165" fontId="22" fillId="33" borderId="0" xfId="0" applyNumberFormat="1" applyFont="1" applyFill="1" applyAlignment="1">
      <alignment horizontal="center"/>
    </xf>
    <xf numFmtId="194" fontId="22" fillId="33" borderId="0" xfId="0" applyNumberFormat="1" applyFont="1" applyFill="1" applyAlignment="1">
      <alignment horizontal="center"/>
    </xf>
    <xf numFmtId="169" fontId="22" fillId="33" borderId="0" xfId="0" applyNumberFormat="1" applyFont="1" applyFill="1" applyAlignment="1">
      <alignment horizontal="center"/>
    </xf>
    <xf numFmtId="195" fontId="22" fillId="33" borderId="0" xfId="0" applyNumberFormat="1" applyFont="1" applyFill="1" applyAlignment="1">
      <alignment horizontal="center"/>
    </xf>
    <xf numFmtId="170" fontId="22" fillId="33" borderId="0" xfId="0" applyNumberFormat="1" applyFont="1" applyFill="1" applyAlignment="1">
      <alignment horizontal="center"/>
    </xf>
    <xf numFmtId="196" fontId="22" fillId="33" borderId="0" xfId="0" applyNumberFormat="1" applyFont="1" applyFill="1" applyAlignment="1">
      <alignment horizontal="center"/>
    </xf>
    <xf numFmtId="171" fontId="22" fillId="33" borderId="0" xfId="0" applyNumberFormat="1" applyFont="1" applyFill="1" applyAlignment="1">
      <alignment horizontal="center"/>
    </xf>
    <xf numFmtId="197" fontId="22" fillId="33" borderId="0" xfId="0" applyNumberFormat="1" applyFont="1" applyFill="1" applyAlignment="1">
      <alignment horizontal="center"/>
    </xf>
    <xf numFmtId="172" fontId="22" fillId="33" borderId="0" xfId="0" applyNumberFormat="1" applyFont="1" applyFill="1" applyAlignment="1">
      <alignment horizontal="center"/>
    </xf>
    <xf numFmtId="198" fontId="22" fillId="33" borderId="0" xfId="0" applyNumberFormat="1" applyFont="1" applyFill="1" applyAlignment="1">
      <alignment horizontal="center"/>
    </xf>
    <xf numFmtId="0" fontId="20" fillId="33" borderId="0" xfId="0" applyFont="1" applyFill="1" applyAlignment="1">
      <alignment horizontal="center"/>
    </xf>
    <xf numFmtId="199" fontId="22" fillId="33" borderId="0" xfId="0" applyNumberFormat="1" applyFont="1" applyFill="1" applyAlignment="1">
      <alignment horizontal="center"/>
    </xf>
    <xf numFmtId="173" fontId="22" fillId="33" borderId="0" xfId="0" applyNumberFormat="1" applyFont="1" applyFill="1" applyAlignment="1">
      <alignment horizontal="center"/>
    </xf>
    <xf numFmtId="200" fontId="22" fillId="33" borderId="0" xfId="0" applyNumberFormat="1" applyFont="1" applyFill="1" applyAlignment="1">
      <alignment horizontal="center"/>
    </xf>
    <xf numFmtId="174" fontId="22" fillId="33" borderId="0" xfId="0" applyNumberFormat="1" applyFont="1" applyFill="1" applyAlignment="1">
      <alignment horizontal="center"/>
    </xf>
    <xf numFmtId="201" fontId="22" fillId="33" borderId="0" xfId="0" applyNumberFormat="1" applyFont="1" applyFill="1" applyAlignment="1">
      <alignment horizontal="center"/>
    </xf>
    <xf numFmtId="175" fontId="22" fillId="33" borderId="0" xfId="0" applyNumberFormat="1" applyFont="1" applyFill="1" applyAlignment="1">
      <alignment horizontal="center"/>
    </xf>
    <xf numFmtId="202" fontId="22" fillId="33" borderId="0" xfId="0" applyNumberFormat="1" applyFont="1" applyFill="1" applyAlignment="1">
      <alignment horizontal="center"/>
    </xf>
    <xf numFmtId="176" fontId="22" fillId="33" borderId="0" xfId="0" applyNumberFormat="1" applyFont="1" applyFill="1" applyAlignment="1">
      <alignment horizontal="center"/>
    </xf>
    <xf numFmtId="203" fontId="22" fillId="33" borderId="0" xfId="0" applyNumberFormat="1" applyFont="1" applyFill="1" applyAlignment="1">
      <alignment horizontal="center"/>
    </xf>
    <xf numFmtId="178" fontId="22" fillId="33" borderId="0" xfId="0" applyNumberFormat="1" applyFont="1" applyFill="1" applyAlignment="1">
      <alignment horizontal="center"/>
    </xf>
    <xf numFmtId="204" fontId="22" fillId="33" borderId="0" xfId="0" applyNumberFormat="1" applyFont="1" applyFill="1" applyAlignment="1">
      <alignment horizontal="center"/>
    </xf>
    <xf numFmtId="179" fontId="22" fillId="33" borderId="0" xfId="0" applyNumberFormat="1" applyFont="1" applyFill="1" applyAlignment="1">
      <alignment horizontal="center"/>
    </xf>
    <xf numFmtId="205" fontId="22" fillId="33" borderId="0" xfId="0" applyNumberFormat="1" applyFont="1" applyFill="1" applyAlignment="1">
      <alignment horizontal="center"/>
    </xf>
    <xf numFmtId="177" fontId="22" fillId="33" borderId="0" xfId="0" applyNumberFormat="1" applyFont="1" applyFill="1" applyAlignment="1">
      <alignment horizontal="center"/>
    </xf>
    <xf numFmtId="206" fontId="22" fillId="33" borderId="0" xfId="0" applyNumberFormat="1" applyFont="1" applyFill="1" applyAlignment="1">
      <alignment horizontal="center"/>
    </xf>
    <xf numFmtId="207" fontId="22" fillId="33" borderId="0" xfId="0" applyNumberFormat="1" applyFont="1" applyFill="1" applyAlignment="1">
      <alignment horizontal="center"/>
    </xf>
    <xf numFmtId="180" fontId="22" fillId="33" borderId="0" xfId="0" applyNumberFormat="1" applyFont="1" applyFill="1" applyAlignment="1">
      <alignment horizontal="center"/>
    </xf>
    <xf numFmtId="208" fontId="22" fillId="33" borderId="0" xfId="0" applyNumberFormat="1" applyFont="1" applyFill="1" applyAlignment="1">
      <alignment horizontal="center"/>
    </xf>
    <xf numFmtId="181" fontId="22" fillId="33" borderId="0" xfId="0" applyNumberFormat="1" applyFont="1" applyFill="1" applyAlignment="1">
      <alignment horizontal="center"/>
    </xf>
    <xf numFmtId="209" fontId="22" fillId="33" borderId="0" xfId="0" applyNumberFormat="1" applyFont="1" applyFill="1" applyAlignment="1">
      <alignment horizontal="center"/>
    </xf>
    <xf numFmtId="182" fontId="22" fillId="33" borderId="0" xfId="0" applyNumberFormat="1" applyFont="1" applyFill="1" applyAlignment="1">
      <alignment horizontal="center"/>
    </xf>
    <xf numFmtId="210" fontId="22" fillId="33" borderId="0" xfId="0" applyNumberFormat="1" applyFont="1" applyFill="1" applyAlignment="1">
      <alignment horizontal="center"/>
    </xf>
    <xf numFmtId="183" fontId="22" fillId="33" borderId="0" xfId="0" applyNumberFormat="1" applyFont="1" applyFill="1" applyAlignment="1">
      <alignment horizontal="center"/>
    </xf>
    <xf numFmtId="211" fontId="22" fillId="33" borderId="0" xfId="0" applyNumberFormat="1" applyFont="1" applyFill="1" applyAlignment="1">
      <alignment horizontal="center"/>
    </xf>
    <xf numFmtId="184" fontId="22" fillId="33" borderId="0" xfId="0" applyNumberFormat="1" applyFont="1" applyFill="1" applyAlignment="1">
      <alignment horizontal="center"/>
    </xf>
    <xf numFmtId="212" fontId="22" fillId="33" borderId="0" xfId="0" applyNumberFormat="1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Alignment="1">
      <alignment horizontal="center"/>
    </xf>
    <xf numFmtId="213" fontId="22" fillId="33" borderId="0" xfId="0" applyNumberFormat="1" applyFont="1" applyFill="1" applyAlignment="1">
      <alignment horizontal="center"/>
    </xf>
    <xf numFmtId="186" fontId="22" fillId="33" borderId="0" xfId="0" applyNumberFormat="1" applyFont="1" applyFill="1" applyAlignment="1">
      <alignment horizontal="center"/>
    </xf>
    <xf numFmtId="214" fontId="22" fillId="33" borderId="0" xfId="0" applyNumberFormat="1" applyFont="1" applyFill="1" applyAlignment="1">
      <alignment horizontal="center"/>
    </xf>
    <xf numFmtId="187" fontId="22" fillId="33" borderId="0" xfId="0" applyNumberFormat="1" applyFont="1" applyFill="1" applyAlignment="1">
      <alignment horizontal="center"/>
    </xf>
    <xf numFmtId="215" fontId="22" fillId="33" borderId="0" xfId="0" applyNumberFormat="1" applyFont="1" applyFill="1" applyAlignment="1">
      <alignment horizontal="center"/>
    </xf>
    <xf numFmtId="0" fontId="13" fillId="33" borderId="0" xfId="0" applyFont="1" applyFill="1"/>
    <xf numFmtId="188" fontId="22" fillId="33" borderId="0" xfId="0" applyNumberFormat="1" applyFont="1" applyFill="1" applyAlignment="1">
      <alignment horizontal="center"/>
    </xf>
    <xf numFmtId="216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 applyAlignment="1">
      <alignment horizontal="center"/>
    </xf>
    <xf numFmtId="189" fontId="22" fillId="33" borderId="0" xfId="0" applyNumberFormat="1" applyFont="1" applyFill="1" applyAlignment="1">
      <alignment horizontal="center"/>
    </xf>
    <xf numFmtId="217" fontId="22" fillId="33" borderId="0" xfId="0" applyNumberFormat="1" applyFont="1" applyFill="1" applyAlignment="1">
      <alignment horizontal="center"/>
    </xf>
    <xf numFmtId="190" fontId="22" fillId="33" borderId="0" xfId="0" applyNumberFormat="1" applyFont="1" applyFill="1" applyAlignment="1">
      <alignment horizontal="center"/>
    </xf>
    <xf numFmtId="218" fontId="22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17" fillId="33" borderId="0" xfId="43" applyNumberFormat="1" applyFont="1" applyFill="1" applyBorder="1"/>
    <xf numFmtId="10" fontId="30" fillId="33" borderId="0" xfId="43" applyNumberFormat="1" applyFont="1" applyFill="1" applyBorder="1"/>
    <xf numFmtId="10" fontId="17" fillId="33" borderId="0" xfId="43" applyNumberFormat="1" applyFont="1" applyFill="1" applyBorder="1" applyAlignment="1"/>
    <xf numFmtId="10" fontId="17" fillId="33" borderId="0" xfId="43" applyNumberFormat="1" applyFont="1" applyFill="1" applyBorder="1"/>
    <xf numFmtId="219" fontId="17" fillId="33" borderId="0" xfId="43" applyNumberFormat="1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96937</xdr:colOff>
      <xdr:row>2</xdr:row>
      <xdr:rowOff>167902</xdr:rowOff>
    </xdr:from>
    <xdr:to>
      <xdr:col>17</xdr:col>
      <xdr:colOff>126679</xdr:colOff>
      <xdr:row>26</xdr:row>
      <xdr:rowOff>53136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54" y="697069"/>
          <a:ext cx="4305408" cy="4203234"/>
        </a:xfrm>
        <a:prstGeom prst="rect">
          <a:avLst/>
        </a:prstGeom>
      </xdr:spPr>
    </xdr:pic>
    <xdr:clientData/>
  </xdr:twoCellAnchor>
  <xdr:twoCellAnchor editAs="absolute">
    <xdr:from>
      <xdr:col>13</xdr:col>
      <xdr:colOff>162798</xdr:colOff>
      <xdr:row>13</xdr:row>
      <xdr:rowOff>53954</xdr:rowOff>
    </xdr:from>
    <xdr:to>
      <xdr:col>13</xdr:col>
      <xdr:colOff>342798</xdr:colOff>
      <xdr:row>14</xdr:row>
      <xdr:rowOff>47545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9392523" y="2578079"/>
          <a:ext cx="180000" cy="174566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830647</xdr:colOff>
      <xdr:row>15</xdr:row>
      <xdr:rowOff>107845</xdr:rowOff>
    </xdr:from>
    <xdr:to>
      <xdr:col>14</xdr:col>
      <xdr:colOff>1010647</xdr:colOff>
      <xdr:row>16</xdr:row>
      <xdr:rowOff>102107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0774747" y="2993920"/>
          <a:ext cx="180000" cy="175237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71917</xdr:colOff>
      <xdr:row>19</xdr:row>
      <xdr:rowOff>61532</xdr:rowOff>
    </xdr:from>
    <xdr:to>
      <xdr:col>16</xdr:col>
      <xdr:colOff>251651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130567" y="3671507"/>
          <a:ext cx="179734" cy="1739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400483</xdr:colOff>
      <xdr:row>27</xdr:row>
      <xdr:rowOff>66675</xdr:rowOff>
    </xdr:from>
    <xdr:to>
      <xdr:col>14</xdr:col>
      <xdr:colOff>129886</xdr:colOff>
      <xdr:row>29</xdr:row>
      <xdr:rowOff>55850</xdr:rowOff>
    </xdr:to>
    <xdr:sp macro="" textlink="$M$1">
      <xdr:nvSpPr>
        <xdr:cNvPr id="2" name="Flowchart: Terminator 1">
          <a:extLst>
            <a:ext uri="{FF2B5EF4-FFF2-40B4-BE49-F238E27FC236}">
              <a16:creationId xmlns:a16="http://schemas.microsoft.com/office/drawing/2014/main" id="{958717DD-5844-5CA2-E451-3B69C2623EB7}"/>
            </a:ext>
          </a:extLst>
        </xdr:cNvPr>
        <xdr:cNvSpPr/>
      </xdr:nvSpPr>
      <xdr:spPr>
        <a:xfrm>
          <a:off x="8908040" y="5208010"/>
          <a:ext cx="1168977" cy="357187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8680E4F-DDFA-451A-AB41-EF44872712E7}" type="TxLink">
            <a:rPr lang="en-US" sz="1100" b="0" i="0" u="none" strike="noStrike">
              <a:solidFill>
                <a:srgbClr val="808080"/>
              </a:solidFill>
              <a:latin typeface="Calibri"/>
              <a:ea typeface="Calibri"/>
              <a:cs typeface="Calibri"/>
            </a:rPr>
            <a:pPr algn="ctr"/>
            <a:t>4.00%</a:t>
          </a:fld>
          <a:endParaRPr lang="en-IN" sz="1100"/>
        </a:p>
      </xdr:txBody>
    </xdr:sp>
    <xdr:clientData/>
  </xdr:twoCellAnchor>
  <xdr:twoCellAnchor>
    <xdr:from>
      <xdr:col>14</xdr:col>
      <xdr:colOff>119928</xdr:colOff>
      <xdr:row>27</xdr:row>
      <xdr:rowOff>66675</xdr:rowOff>
    </xdr:from>
    <xdr:to>
      <xdr:col>15</xdr:col>
      <xdr:colOff>228167</xdr:colOff>
      <xdr:row>29</xdr:row>
      <xdr:rowOff>55850</xdr:rowOff>
    </xdr:to>
    <xdr:sp macro="" textlink="$N$1">
      <xdr:nvSpPr>
        <xdr:cNvPr id="3" name="Flowchart: Terminator 2">
          <a:extLst>
            <a:ext uri="{FF2B5EF4-FFF2-40B4-BE49-F238E27FC236}">
              <a16:creationId xmlns:a16="http://schemas.microsoft.com/office/drawing/2014/main" id="{B7162364-8F6B-6653-4FB0-FE283708B450}"/>
            </a:ext>
          </a:extLst>
        </xdr:cNvPr>
        <xdr:cNvSpPr/>
      </xdr:nvSpPr>
      <xdr:spPr>
        <a:xfrm>
          <a:off x="10067059" y="5208010"/>
          <a:ext cx="1168977" cy="357187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25B91A4-3866-4F9E-B3B8-F91AA3D5FA07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59.00%</a:t>
          </a:fld>
          <a:endParaRPr lang="en-IN" sz="1100"/>
        </a:p>
      </xdr:txBody>
    </xdr:sp>
    <xdr:clientData/>
  </xdr:twoCellAnchor>
  <xdr:twoCellAnchor>
    <xdr:from>
      <xdr:col>15</xdr:col>
      <xdr:colOff>218209</xdr:colOff>
      <xdr:row>27</xdr:row>
      <xdr:rowOff>66675</xdr:rowOff>
    </xdr:from>
    <xdr:to>
      <xdr:col>16</xdr:col>
      <xdr:colOff>326447</xdr:colOff>
      <xdr:row>29</xdr:row>
      <xdr:rowOff>55850</xdr:rowOff>
    </xdr:to>
    <xdr:sp macro="" textlink="$O$1">
      <xdr:nvSpPr>
        <xdr:cNvPr id="4" name="Flowchart: Terminator 3">
          <a:extLst>
            <a:ext uri="{FF2B5EF4-FFF2-40B4-BE49-F238E27FC236}">
              <a16:creationId xmlns:a16="http://schemas.microsoft.com/office/drawing/2014/main" id="{446E6469-B65D-88DC-6809-EC4B2699C348}"/>
            </a:ext>
          </a:extLst>
        </xdr:cNvPr>
        <xdr:cNvSpPr/>
      </xdr:nvSpPr>
      <xdr:spPr>
        <a:xfrm>
          <a:off x="11226078" y="5208010"/>
          <a:ext cx="1168977" cy="357187"/>
        </a:xfrm>
        <a:prstGeom prst="flowChartTerminator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C9FDF4A-8E73-4C66-88D8-511994F57C7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37.00%</a:t>
          </a:fld>
          <a:endParaRPr lang="en-IN" sz="1100"/>
        </a:p>
      </xdr:txBody>
    </xdr:sp>
    <xdr:clientData/>
  </xdr:twoCellAnchor>
  <xdr:twoCellAnchor editAs="oneCell">
    <xdr:from>
      <xdr:col>15</xdr:col>
      <xdr:colOff>255393</xdr:colOff>
      <xdr:row>27</xdr:row>
      <xdr:rowOff>103331</xdr:rowOff>
    </xdr:from>
    <xdr:to>
      <xdr:col>15</xdr:col>
      <xdr:colOff>559627</xdr:colOff>
      <xdr:row>29</xdr:row>
      <xdr:rowOff>35879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08CA02-3A7F-04F7-1409-DE8A8F42D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9798" y="5138804"/>
          <a:ext cx="304234" cy="292639"/>
        </a:xfrm>
        <a:prstGeom prst="rect">
          <a:avLst/>
        </a:prstGeom>
      </xdr:spPr>
    </xdr:pic>
    <xdr:clientData/>
  </xdr:twoCellAnchor>
  <xdr:twoCellAnchor editAs="oneCell">
    <xdr:from>
      <xdr:col>12</xdr:col>
      <xdr:colOff>420970</xdr:colOff>
      <xdr:row>27</xdr:row>
      <xdr:rowOff>90181</xdr:rowOff>
    </xdr:from>
    <xdr:to>
      <xdr:col>13</xdr:col>
      <xdr:colOff>5538</xdr:colOff>
      <xdr:row>29</xdr:row>
      <xdr:rowOff>22729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D64EFE4-69EC-E9D9-816D-284E92886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7967" y="5125654"/>
          <a:ext cx="304234" cy="292639"/>
        </a:xfrm>
        <a:prstGeom prst="rect">
          <a:avLst/>
        </a:prstGeom>
      </xdr:spPr>
    </xdr:pic>
    <xdr:clientData/>
  </xdr:twoCellAnchor>
  <xdr:twoCellAnchor editAs="oneCell">
    <xdr:from>
      <xdr:col>14</xdr:col>
      <xdr:colOff>152327</xdr:colOff>
      <xdr:row>27</xdr:row>
      <xdr:rowOff>98816</xdr:rowOff>
    </xdr:from>
    <xdr:to>
      <xdr:col>14</xdr:col>
      <xdr:colOff>456561</xdr:colOff>
      <xdr:row>29</xdr:row>
      <xdr:rowOff>37162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C223920-4065-717C-D6AF-84FE1913C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9690" y="5134289"/>
          <a:ext cx="304234" cy="2984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="70" zoomScaleNormal="100" workbookViewId="0">
      <selection activeCell="B4" sqref="B4"/>
    </sheetView>
  </sheetViews>
  <sheetFormatPr defaultColWidth="9" defaultRowHeight="14.85" customHeight="1" x14ac:dyDescent="0.25"/>
  <cols>
    <col min="1" max="1" width="1.140625" style="6" customWidth="1"/>
    <col min="2" max="2" width="14" style="76" customWidth="1"/>
    <col min="3" max="9" width="13" style="2" customWidth="1"/>
    <col min="10" max="10" width="5.28515625" style="4" customWidth="1"/>
    <col min="11" max="11" width="12.28515625" style="2" customWidth="1"/>
    <col min="12" max="12" width="3.85546875" style="1" customWidth="1"/>
    <col min="13" max="13" width="10.85546875" style="1" customWidth="1"/>
    <col min="14" max="14" width="10.7109375" style="1" customWidth="1"/>
    <col min="15" max="16" width="15.85546875" style="1" customWidth="1"/>
    <col min="17" max="19" width="10.85546875" style="1" customWidth="1"/>
    <col min="20" max="21" width="10.85546875" style="10" hidden="1" customWidth="1"/>
    <col min="22" max="24" width="10.85546875" style="1" customWidth="1"/>
    <col min="25" max="28" width="6.85546875" style="1" customWidth="1"/>
    <col min="29" max="16384" width="9" style="1"/>
  </cols>
  <sheetData>
    <row r="1" spans="1:21" s="8" customFormat="1" ht="28.15" customHeight="1" x14ac:dyDescent="0.3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84"/>
      <c r="M1" s="86">
        <f>VLOOKUP(K1,B29:E36,2,0)</f>
        <v>0.04</v>
      </c>
      <c r="N1" s="87">
        <f>VLOOKUP(K1,B29:E36,3,0)</f>
        <v>0.59</v>
      </c>
      <c r="O1" s="88">
        <f>VLOOKUP(K1,B29:E36,4,0)</f>
        <v>0.37</v>
      </c>
      <c r="P1" s="85"/>
      <c r="Q1" s="84"/>
      <c r="T1" s="9"/>
      <c r="U1" s="9"/>
    </row>
    <row r="2" spans="1:21" ht="14.85" customHeight="1" x14ac:dyDescent="0.25">
      <c r="I2" s="82"/>
      <c r="M2" s="2"/>
      <c r="N2" s="1" t="s">
        <v>74</v>
      </c>
      <c r="O2" s="2"/>
      <c r="P2" s="1">
        <f>VLOOKUP(K1,B29:E36,4,0)</f>
        <v>0.37</v>
      </c>
    </row>
    <row r="3" spans="1:21" ht="14.85" customHeight="1" x14ac:dyDescent="0.25">
      <c r="B3" s="80" t="s">
        <v>8</v>
      </c>
      <c r="I3" s="82"/>
      <c r="M3" s="2"/>
      <c r="N3" s="2"/>
      <c r="O3" s="2"/>
      <c r="T3" s="11" t="s">
        <v>17</v>
      </c>
      <c r="U3" s="12" t="s">
        <v>45</v>
      </c>
    </row>
    <row r="4" spans="1:21" ht="14.85" customHeight="1" x14ac:dyDescent="0.2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85" customHeight="1" x14ac:dyDescent="0.2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85" customHeight="1" x14ac:dyDescent="0.2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85" customHeight="1" x14ac:dyDescent="0.2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85" customHeight="1" x14ac:dyDescent="0.2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85" customHeight="1" x14ac:dyDescent="0.2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28"/>
      <c r="Q16" s="10"/>
      <c r="T16" s="38" t="s">
        <v>30</v>
      </c>
      <c r="U16" s="39" t="s">
        <v>58</v>
      </c>
    </row>
    <row r="17" spans="1:21" ht="14.85" customHeight="1" x14ac:dyDescent="0.25">
      <c r="B17" s="77" t="s">
        <v>1</v>
      </c>
      <c r="C17" s="81">
        <v>0.76</v>
      </c>
      <c r="D17" s="81">
        <v>0.77</v>
      </c>
      <c r="E17" s="81">
        <v>0.76</v>
      </c>
      <c r="F17" s="81">
        <v>0.74</v>
      </c>
      <c r="G17" s="81">
        <v>0.72</v>
      </c>
      <c r="H17" s="81">
        <v>0.53</v>
      </c>
      <c r="I17" s="89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28" t="s">
        <v>2</v>
      </c>
      <c r="Q17" s="10"/>
      <c r="T17" s="40" t="s">
        <v>31</v>
      </c>
      <c r="U17" s="41" t="s">
        <v>59</v>
      </c>
    </row>
    <row r="18" spans="1:21" ht="14.85" customHeight="1" x14ac:dyDescent="0.25">
      <c r="B18" s="77" t="s">
        <v>2</v>
      </c>
      <c r="C18" s="81">
        <v>0.62</v>
      </c>
      <c r="D18" s="81">
        <v>0.6</v>
      </c>
      <c r="E18" s="81">
        <v>0.65</v>
      </c>
      <c r="F18" s="81">
        <v>0.66</v>
      </c>
      <c r="G18" s="81">
        <v>0.64</v>
      </c>
      <c r="H18" s="81">
        <v>0.62</v>
      </c>
      <c r="I18" s="89">
        <f t="shared" si="1"/>
        <v>0</v>
      </c>
      <c r="J18" s="3">
        <f t="shared" ref="J18:J24" si="2">I18</f>
        <v>0</v>
      </c>
      <c r="N18" s="10"/>
      <c r="O18" s="28"/>
      <c r="P18" s="28"/>
      <c r="Q18" s="10"/>
      <c r="T18" s="42" t="s">
        <v>32</v>
      </c>
      <c r="U18" s="43" t="s">
        <v>60</v>
      </c>
    </row>
    <row r="19" spans="1:21" ht="14.85" customHeight="1" x14ac:dyDescent="0.25">
      <c r="B19" s="77" t="s">
        <v>3</v>
      </c>
      <c r="C19" s="81">
        <v>0.12</v>
      </c>
      <c r="D19" s="81">
        <v>0.19</v>
      </c>
      <c r="E19" s="81">
        <v>0.17</v>
      </c>
      <c r="F19" s="81">
        <v>0.22</v>
      </c>
      <c r="G19" s="81">
        <v>0.2</v>
      </c>
      <c r="H19" s="81">
        <v>0.15</v>
      </c>
      <c r="I19" s="89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85" customHeight="1" x14ac:dyDescent="0.25">
      <c r="B20" s="77" t="s">
        <v>10</v>
      </c>
      <c r="C20" s="81">
        <v>0.48</v>
      </c>
      <c r="D20" s="81">
        <v>0.46</v>
      </c>
      <c r="E20" s="81">
        <v>0.5</v>
      </c>
      <c r="F20" s="81">
        <v>0.47</v>
      </c>
      <c r="G20" s="81">
        <v>0.48</v>
      </c>
      <c r="H20" s="81">
        <v>0.47</v>
      </c>
      <c r="I20" s="89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85" customHeight="1" x14ac:dyDescent="0.25">
      <c r="B21" s="77" t="s">
        <v>4</v>
      </c>
      <c r="C21" s="81">
        <v>0.79</v>
      </c>
      <c r="D21" s="81">
        <v>0.8</v>
      </c>
      <c r="E21" s="81">
        <v>0.82</v>
      </c>
      <c r="F21" s="81">
        <v>0.83</v>
      </c>
      <c r="G21" s="81">
        <v>0.82</v>
      </c>
      <c r="H21" s="81">
        <v>0.82</v>
      </c>
      <c r="I21" s="89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85" customHeight="1" x14ac:dyDescent="0.25">
      <c r="B22" s="77" t="s">
        <v>11</v>
      </c>
      <c r="C22" s="81">
        <v>0.4</v>
      </c>
      <c r="D22" s="81">
        <v>0.46</v>
      </c>
      <c r="E22" s="81">
        <v>0.46</v>
      </c>
      <c r="F22" s="81">
        <v>0.48</v>
      </c>
      <c r="G22" s="81">
        <v>0.53</v>
      </c>
      <c r="H22" s="81">
        <v>0.53</v>
      </c>
      <c r="I22" s="89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5">
      <c r="B23" s="77" t="s">
        <v>12</v>
      </c>
      <c r="C23" s="81">
        <v>0.57999999999999996</v>
      </c>
      <c r="D23" s="81">
        <v>0.61</v>
      </c>
      <c r="E23" s="81">
        <v>0.65</v>
      </c>
      <c r="F23" s="81">
        <v>0.7</v>
      </c>
      <c r="G23" s="81">
        <v>0.73</v>
      </c>
      <c r="H23" s="81">
        <v>0.72</v>
      </c>
      <c r="I23" s="89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5">
      <c r="B24" s="77" t="s">
        <v>5</v>
      </c>
      <c r="C24" s="81">
        <v>0.35</v>
      </c>
      <c r="D24" s="81">
        <v>0.35</v>
      </c>
      <c r="E24" s="81">
        <v>0.41</v>
      </c>
      <c r="F24" s="81">
        <v>0.48</v>
      </c>
      <c r="G24" s="81">
        <v>0.53</v>
      </c>
      <c r="H24" s="81">
        <v>0.56999999999999995</v>
      </c>
      <c r="I24" s="89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85" customHeight="1" x14ac:dyDescent="0.2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85" customHeight="1" x14ac:dyDescent="0.25">
      <c r="B29" s="77" t="s">
        <v>1</v>
      </c>
      <c r="C29" s="65">
        <v>0.04</v>
      </c>
      <c r="D29" s="65">
        <v>0.49</v>
      </c>
      <c r="E29" s="65">
        <f>1-(G3229+D29)</f>
        <v>0.51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85" customHeight="1" x14ac:dyDescent="0.25">
      <c r="B30" s="77" t="s">
        <v>2</v>
      </c>
      <c r="C30" s="65">
        <v>0.04</v>
      </c>
      <c r="D30" s="65">
        <v>0.59</v>
      </c>
      <c r="E30" s="65">
        <f t="shared" ref="E30:E36" si="3">1-(C30+D30)</f>
        <v>0.37</v>
      </c>
      <c r="F30" s="62"/>
      <c r="G30" s="62"/>
      <c r="H30" s="62"/>
      <c r="I30" s="62"/>
      <c r="J30" s="74"/>
      <c r="K30" s="62"/>
      <c r="N30" s="1">
        <f>VLOOKUP(K1,B29:E36,2,0)</f>
        <v>0.04</v>
      </c>
      <c r="T30" s="68" t="s">
        <v>44</v>
      </c>
      <c r="U30" s="69" t="s">
        <v>72</v>
      </c>
    </row>
    <row r="31" spans="1:21" ht="14.85" customHeight="1" x14ac:dyDescent="0.2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85" customHeight="1" x14ac:dyDescent="0.2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85" customHeight="1" x14ac:dyDescent="0.2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85" customHeight="1" x14ac:dyDescent="0.2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85" customHeight="1" x14ac:dyDescent="0.2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85" customHeight="1" x14ac:dyDescent="0.2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5">
      <c r="B39" s="78"/>
    </row>
    <row r="42" spans="2:11" ht="14.85" customHeight="1" x14ac:dyDescent="0.25">
      <c r="B42" s="78"/>
      <c r="J42" s="13"/>
    </row>
    <row r="43" spans="2:11" ht="14.85" customHeight="1" x14ac:dyDescent="0.25">
      <c r="B43" s="78"/>
      <c r="F43" s="13"/>
      <c r="G43" s="13"/>
      <c r="H43" s="13"/>
      <c r="I43" s="13"/>
      <c r="K43" s="13"/>
    </row>
    <row r="44" spans="2:11" ht="14.85" customHeight="1" x14ac:dyDescent="0.25">
      <c r="B44" s="78"/>
    </row>
    <row r="45" spans="2:11" ht="14.85" customHeight="1" x14ac:dyDescent="0.25">
      <c r="B45" s="78"/>
    </row>
    <row r="46" spans="2:11" ht="14.85" customHeight="1" x14ac:dyDescent="0.25">
      <c r="B46" s="78"/>
    </row>
    <row r="47" spans="2:11" ht="14.85" customHeight="1" x14ac:dyDescent="0.25">
      <c r="B47" s="78"/>
    </row>
    <row r="49" spans="2:5" ht="14.85" customHeight="1" x14ac:dyDescent="0.25">
      <c r="B49" s="78"/>
    </row>
    <row r="50" spans="2:5" ht="14.85" customHeight="1" x14ac:dyDescent="0.25">
      <c r="B50" s="78"/>
    </row>
    <row r="51" spans="2:5" ht="14.85" customHeight="1" x14ac:dyDescent="0.25">
      <c r="B51" s="78"/>
    </row>
    <row r="52" spans="2:5" ht="14.85" customHeight="1" x14ac:dyDescent="0.25">
      <c r="C52" s="70"/>
      <c r="D52" s="70"/>
      <c r="E52" s="70"/>
    </row>
    <row r="63" spans="2:5" ht="14.85" customHeight="1" x14ac:dyDescent="0.25">
      <c r="B63" s="79" t="s">
        <v>6</v>
      </c>
    </row>
  </sheetData>
  <phoneticPr fontId="23" type="noConversion"/>
  <conditionalFormatting sqref="B5:I13">
    <cfRule type="expression" dxfId="7" priority="2">
      <formula>$B5=$K$1</formula>
    </cfRule>
  </conditionalFormatting>
  <conditionalFormatting sqref="C5:H12">
    <cfRule type="top10" dxfId="6" priority="1" bottom="1" rank="5"/>
  </conditionalFormatting>
  <conditionalFormatting sqref="C17:H2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E29:E3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N15">
    <cfRule type="expression" dxfId="5" priority="22">
      <formula>N13=$K$1</formula>
    </cfRule>
  </conditionalFormatting>
  <conditionalFormatting sqref="O11:P11">
    <cfRule type="expression" dxfId="4" priority="24">
      <formula>O10=$K$1</formula>
    </cfRule>
  </conditionalFormatting>
  <conditionalFormatting sqref="O16:P18">
    <cfRule type="expression" dxfId="3" priority="8">
      <formula>O15=$K$1</formula>
    </cfRule>
  </conditionalFormatting>
  <conditionalFormatting sqref="P22">
    <cfRule type="expression" dxfId="2" priority="5">
      <formula>P21=$K$1</formula>
    </cfRule>
  </conditionalFormatting>
  <conditionalFormatting sqref="P25:P26">
    <cfRule type="expression" dxfId="1" priority="3">
      <formula>P24=$K$1</formula>
    </cfRule>
  </conditionalFormatting>
  <conditionalFormatting sqref="Q20:Q21">
    <cfRule type="expression" dxfId="0" priority="6">
      <formula>Q19=$K$1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39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6DBDBB99-CC7A-4F9D-9DB0-B9EACCA78703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FFFF00"/>
          <x14:colorLow theme="5" tint="-0.249977111117893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displayEmptyCellsAs="gap" high="1" xr2:uid="{ACFF6896-0400-498F-B6D5-7331BA3359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FFFF00"/>
          <x14:colorLow rgb="FFD00000"/>
          <x14:sparklines>
            <x14:sparkline>
              <xm:f>'State Waste Management'!C19:H19</xm:f>
              <xm:sqref>K19</xm:sqref>
            </x14:sparkline>
          </x14:sparklines>
        </x14:sparklineGroup>
        <x14:sparklineGroup type="column" displayEmptyCellsAs="gap" xr2:uid="{CD717AB7-A112-4FB3-B943-1C46DD68B3C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Management'!C7:H7</xm:f>
              <xm:sqref>K7</xm:sqref>
            </x14:sparkline>
          </x14:sparklines>
        </x14:sparklineGroup>
        <x14:sparklineGroup type="column" displayEmptyCellsAs="gap" high="1" xr2:uid="{82817C56-AFB9-4DB6-A223-028BBAF4C74C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FF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Rishabh Shirke</cp:lastModifiedBy>
  <dcterms:created xsi:type="dcterms:W3CDTF">2020-03-03T02:51:49Z</dcterms:created>
  <dcterms:modified xsi:type="dcterms:W3CDTF">2024-01-30T08:22:28Z</dcterms:modified>
</cp:coreProperties>
</file>